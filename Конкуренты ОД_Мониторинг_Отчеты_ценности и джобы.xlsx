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gue\Documents\Документы\Недвижимость\конкурентный анализ\мои анализ\"/>
    </mc:Choice>
  </mc:AlternateContent>
  <xr:revisionPtr revIDLastSave="0" documentId="13_ncr:1_{867E33EC-F53F-4EA2-8714-607EC63834A1}" xr6:coauthVersionLast="47" xr6:coauthVersionMax="47" xr10:uidLastSave="{00000000-0000-0000-0000-000000000000}"/>
  <bookViews>
    <workbookView xWindow="90" yWindow="-16320" windowWidth="29040" windowHeight="15720" xr2:uid="{9457130E-5C78-42F1-9C0F-565E789927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G11" i="1"/>
  <c r="K11" i="1"/>
  <c r="J11" i="1"/>
  <c r="E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Лигуэ Ольга Владимировна</author>
  </authors>
  <commentList>
    <comment ref="J20" authorId="0" shapeId="0" xr:uid="{14FB7799-3B17-4623-8103-55D4EED713B2}">
      <text>
        <r>
          <rPr>
            <b/>
            <sz val="9"/>
            <color indexed="81"/>
            <rFont val="Tahoma"/>
            <charset val="1"/>
          </rPr>
          <t>Лигуэ Ольга Владимировна:</t>
        </r>
        <r>
          <rPr>
            <sz val="9"/>
            <color indexed="81"/>
            <rFont val="Tahoma"/>
            <charset val="1"/>
          </rPr>
          <t xml:space="preserve">
За пределами нашего контура — сама организация снятия залога: взаимодействие банка и застройщика, подготовка документов и запуск регистрационного действия. Это уже не получение данных и не мониторинг изменений, а сопровождение регистрационного процесса. В файле отдельно указано, что «ГеоГраф» связывает банк и застройщика при снятии залога с квартир перед продажей.</t>
        </r>
      </text>
    </comment>
  </commentList>
</comments>
</file>

<file path=xl/sharedStrings.xml><?xml version="1.0" encoding="utf-8"?>
<sst xmlns="http://schemas.openxmlformats.org/spreadsheetml/2006/main" count="157" uniqueCount="128">
  <si>
    <t>Конкуренты</t>
  </si>
  <si>
    <t>Росреестр</t>
  </si>
  <si>
    <t>Реестрик</t>
  </si>
  <si>
    <t>ЕГРН.орг</t>
  </si>
  <si>
    <t>База N недвижимость</t>
  </si>
  <si>
    <t>Реестр дома</t>
  </si>
  <si>
    <t>ГеоГраф (СКБ Техно)</t>
  </si>
  <si>
    <t>smartdeal, Реестр дома (Циан)</t>
  </si>
  <si>
    <t>Dadata</t>
  </si>
  <si>
    <t>Полигон</t>
  </si>
  <si>
    <t>API-CLOUD</t>
  </si>
  <si>
    <t>https://reestrik.ru/tariffs</t>
  </si>
  <si>
    <t>https://xn--c1adzl.xn--c1avg/</t>
  </si>
  <si>
    <t>https://kadbase.ru/object-52:22:0700004:58-nizhegorodskaya-obl-r-n-volodarskij-rp-ilino-dom-19/</t>
  </si>
  <si>
    <t>https://reestrdoma.ru/tarify/</t>
  </si>
  <si>
    <t>https://geograf.ru/</t>
  </si>
  <si>
    <t>https://smartdeal.pro/reestr-doma</t>
  </si>
  <si>
    <t>https://dadata.ru/product/cadnum-by-address/</t>
  </si>
  <si>
    <t>https://pbprog.ru/lp/fias/</t>
  </si>
  <si>
    <t>https://api-cloud.ru/tarif</t>
  </si>
  <si>
    <t>ИНН</t>
  </si>
  <si>
    <t xml:space="preserve">7721581040
</t>
  </si>
  <si>
    <t xml:space="preserve">233410953141
</t>
  </si>
  <si>
    <t xml:space="preserve">Статус </t>
  </si>
  <si>
    <t>Действующее</t>
  </si>
  <si>
    <t xml:space="preserve">действующее </t>
  </si>
  <si>
    <t>действующее</t>
  </si>
  <si>
    <t>ИП Абдрахманов Салават Хамитович</t>
  </si>
  <si>
    <t>ИП Кочетов Максим Андреевич</t>
  </si>
  <si>
    <t>ООО "СТУДИЯ "47-АЯ ПАРАЛЛЕЛЬ"</t>
  </si>
  <si>
    <t>ИП Ромащенко Александр Владимирович</t>
  </si>
  <si>
    <t>ООО "СКБ ТЕХНО"</t>
  </si>
  <si>
    <t>ООО «Практика Успеха»</t>
  </si>
  <si>
    <t>ООО "Дейта Кью"</t>
  </si>
  <si>
    <t>ООО "ПРОГРАММНЫЙ ЦЕНТР"</t>
  </si>
  <si>
    <t>ИП Кочура Александр Васильевич</t>
  </si>
  <si>
    <t>Предприятие</t>
  </si>
  <si>
    <t>микропредприятие</t>
  </si>
  <si>
    <t>Малое предприятие:</t>
  </si>
  <si>
    <t>Выручка 2023</t>
  </si>
  <si>
    <t xml:space="preserve">нет данных </t>
  </si>
  <si>
    <t>Выручка 2024</t>
  </si>
  <si>
    <t>186 767</t>
  </si>
  <si>
    <t>553 352</t>
  </si>
  <si>
    <t>196 088</t>
  </si>
  <si>
    <t>43 762</t>
  </si>
  <si>
    <t>Выручка 2025</t>
  </si>
  <si>
    <t>CAGR</t>
  </si>
  <si>
    <t>включена в реестр малого и среднего предпринимательства.
Дата включения: 10.12.2022
Микро предприятие:
Среднесписочная численность работников
до 15 человек
Доходы в предшествующем году
до 120 млн руб.</t>
  </si>
  <si>
    <t>Включена в реестр МСП предпринимательства.
Дата включения: 10.08.2017
Микро предприятие:
Среднесписочная численность работников
до 15 человек
Доходы в предшествующем году
до 120 млн руб.</t>
  </si>
  <si>
    <r>
      <t xml:space="preserve">Включена в реестр МСП.
Дата включения: 10.12.2017
Микро предприятие:
Среднесписочная численность работников
</t>
    </r>
    <r>
      <rPr>
        <b/>
        <sz val="11"/>
        <color theme="1"/>
        <rFont val="Calibri"/>
        <family val="2"/>
        <charset val="204"/>
      </rPr>
      <t>до 15 человек</t>
    </r>
    <r>
      <rPr>
        <sz val="11"/>
        <color theme="1"/>
        <rFont val="Calibri"/>
        <family val="2"/>
        <charset val="204"/>
      </rPr>
      <t xml:space="preserve">
Доходы в предшествующем году
</t>
    </r>
    <r>
      <rPr>
        <b/>
        <sz val="11"/>
        <color theme="1"/>
        <rFont val="Calibri"/>
        <family val="2"/>
        <charset val="204"/>
      </rPr>
      <t>до 120 млн руб.</t>
    </r>
    <r>
      <rPr>
        <sz val="11"/>
        <color theme="1"/>
        <rFont val="Calibri"/>
        <family val="2"/>
        <charset val="204"/>
      </rPr>
      <t xml:space="preserve">
Заключено контрактов в качестве участника за последние 12 месяцев: 3 госконтрактов
на 380 000 руб.</t>
    </r>
  </si>
  <si>
    <t>Компания включена в реестр малого и среднего предпринимательства.
Дата включения: 10.01.2018
Малое предприятие:
Среднесписочная численность работников
до 100 человек
Доходы в предшествующем году
до 800 млн руб.</t>
  </si>
  <si>
    <t>Компания включена в реестр малого и среднего предпринимательства.
Дата включения: 01.08.2016
Микро предприятие:
Среднесписочная численность работников
до 15 человек
Доходы в предшествующем году
до 120 млн руб.</t>
  </si>
  <si>
    <t>Компания включена в реестр малого и среднего предпринимательства.
Дата включения: 01.08.2016
Малое предприятие:
Среднесписочная численность работников
до 100 человек
Доходы в предшествующем году
до 800 млн руб.</t>
  </si>
  <si>
    <t>Компания включена в реестр малого и среднего предпринимательства.
Дата включения: 10.11.2022
Микро предприятие:
Среднесписочная численность работников
до 15 человек
Доходы в предшествующем году
до 120 млн руб.</t>
  </si>
  <si>
    <t xml:space="preserve">Продукт </t>
  </si>
  <si>
    <t>Отчеты</t>
  </si>
  <si>
    <t>Отчеты, ОД, Мониторинг</t>
  </si>
  <si>
    <t>Мониторинг</t>
  </si>
  <si>
    <t>Мониторинг, ОД</t>
  </si>
  <si>
    <t>Не конкурируем</t>
  </si>
  <si>
    <t>Отчеты, потенциально поиск по адресу</t>
  </si>
  <si>
    <t>ОД, поиск по адресу</t>
  </si>
  <si>
    <t>Тип конкурента</t>
  </si>
  <si>
    <t>Прямой гос. Слой</t>
  </si>
  <si>
    <t>Прямой только по отчетам-выпискам</t>
  </si>
  <si>
    <t xml:space="preserve">Прямой на всех уровнях </t>
  </si>
  <si>
    <t>Нишевый,  для работы с данными по объектам недвижимости с фокусом на банковские задачи. 
Сначала сервис собирает сведения по загруженным кадастровым номерам и передает их клиенту. При повторных запросах новые сведения сравниваются с первоначально собранным файлом — это уже мониторинг изменений</t>
  </si>
  <si>
    <t>Не конкурент. «Реестр Дома» отслеживает этапы регистрационного процесса — загружен, оплачен, продан, зарегистрирован — а не регулярные изменения сведений ЕГРН по объекту после регистрации</t>
  </si>
  <si>
    <t>Прямой конкурент «Кадастровый номер по адресу»: по адресу дома, квартиры или земельного участка сервис определяет кадастровый номер.
Частичное пересечение с ОД.</t>
  </si>
  <si>
    <t xml:space="preserve">Полигон-про -Сценарный конкурент отчетов, подтвержденное использование связано с кадастровыми и землеустроительными задачами. 
API Адрес - частичное пересечение с поиском кадастрового номера, есть технические поля, но возможность не заявлена на сайте.  </t>
  </si>
  <si>
    <t>прямая конкуренция по поиску кадастрового номера по адресу и получение  данных об объекте недвижимости, в т..ч правах и ограничениях</t>
  </si>
  <si>
    <r>
      <t xml:space="preserve">• Электронная выписка об объекте стоит 700 ₽ для физического лица и 1 640 ₽ для юридического лица
•  выписка о переходе прав — 580 ₽ и 1 160 ₽ соответственно.
</t>
    </r>
    <r>
      <rPr>
        <b/>
        <sz val="11"/>
        <color theme="1"/>
        <rFont val="Calibri"/>
        <family val="2"/>
        <charset val="204"/>
        <scheme val="minor"/>
      </rPr>
      <t>Для массового получения сведений</t>
    </r>
    <r>
      <rPr>
        <sz val="11"/>
        <color theme="1"/>
        <rFont val="Calibri"/>
        <family val="2"/>
        <charset val="204"/>
        <scheme val="minor"/>
      </rPr>
      <t xml:space="preserve"> действует отдельная пакетная модель через доступ к ФГИС ЕГРН. 
• до 100 документов — 29 000 ₽, 
• до 1 000 — 232 000 ₽, 
• до 10 000 — 1 740 000 ₽,
•  до 100 000 — 11 600 000 ₽.
Расчетная стоимость одного документа составляет 290 ₽, 232 ₽, 174 ₽ и 116 ₽ соответственно</t>
    </r>
  </si>
  <si>
    <t>• Отчет об объекте-  490 ₽;
• Отчет об переходе прав -  490 ₽;
• «Эксперт»: 5 отчетов об объекте; 5 отчетов о переходе прав, 990 рублей в месяц</t>
  </si>
  <si>
    <t>• об основных параметрах стоит 770 ₽, 
• отчет о переходе прав — 790 ₽. 
• Полный отчет за 1180 ₽ (оба отчета+юр. Заключение и рекомендации)</t>
  </si>
  <si>
    <t>• справка об объекте — 390 ₽ вместо 490 ₽, скидка 20%;
• справка о переходе прав — 590 ₽ вместо 790 ₽, скидка 25%;
• справка с исторической архивной информацией — 125 ₽ вместо 225 ₽, скидка 44%;
• справка по кадастровой стоимости — 125 ₽ вместо 225 ₽, скидка 44%.</t>
  </si>
  <si>
    <t xml:space="preserve">«Полигон Про: Росреестр» цена 6 490 ₽. Далее стоимость по расценкам Росреестра. Полигон - инструмент, через который получают выписки из Росреестра по его ценам. Есть массовая выгрузка. </t>
  </si>
  <si>
    <t>ОД</t>
  </si>
  <si>
    <t xml:space="preserve">Открытые данные
• Тарифы за сутки 99 руб,
• 7 дней – 299руб. 
• месяц. 699 руб. и туда входит 7000 поисковых запросов и 300 избранных объектов. https://kadbase.ru/lk/
</t>
  </si>
  <si>
    <t>Стоимости публичной нет. Открытые данные — продуктово сопоставимое пересечение: клиент может разово загрузить список кадастровых номеров (вручную или файлом), получить актуальный срез сведений по объектам и только затем, при необходимости, перейти к мониторингу.</t>
  </si>
  <si>
    <t>Может закрыть узкую задачу «адрес + кадастровый номер + площадь квартиры</t>
  </si>
  <si>
    <t>API Росреестр
•Поиск кадастрового номера по адресу — 0,35 ₽ за запрос, 
• информация об объекте — 0,35 ₽, 
• публичная кадастровая карта — 0,50 ₽.
Цены указаны без НДС. • При объеме менее 2 000 запросов в месяц дополнительно списывается 700 ₽ в месяц; • от 2 000 запросов — только стоимость запросов. Цены начисляются за ответы со статусом 200.</t>
  </si>
  <si>
    <r>
      <t>Отслеживание изменений любой информации об объекте</t>
    </r>
    <r>
      <rPr>
        <b/>
        <sz val="10"/>
        <color rgb="FF1F2937"/>
        <rFont val="Calibri"/>
        <family val="2"/>
        <charset val="204"/>
        <scheme val="minor"/>
      </rPr>
      <t xml:space="preserve"> </t>
    </r>
    <r>
      <rPr>
        <sz val="10"/>
        <color rgb="FF1F2937"/>
        <rFont val="Calibri"/>
        <family val="2"/>
        <charset val="204"/>
        <scheme val="minor"/>
      </rPr>
      <t xml:space="preserve">(арест, ипотека, залог и пр.), повышение кадастровой стоимости, уведомление о смене собственника, получение информации на почту База N предлагает за год ежедневного мониторинга </t>
    </r>
    <r>
      <rPr>
        <b/>
        <sz val="10"/>
        <color rgb="FF1F2937"/>
        <rFont val="Calibri"/>
        <family val="2"/>
        <charset val="204"/>
        <scheme val="minor"/>
      </rPr>
      <t>~1,5 рубля</t>
    </r>
    <r>
      <rPr>
        <sz val="10"/>
        <color rgb="FF1F2937"/>
        <rFont val="Calibri"/>
        <family val="2"/>
        <charset val="204"/>
        <scheme val="minor"/>
      </rPr>
      <t xml:space="preserve"> в день.</t>
    </r>
  </si>
  <si>
    <t>составление реестра зависит от количества помещений в доме, стоимость от 25 до 250 руб., ежемесячная актуализация данных — стоимость подписки на 1 год зависит от количества помещений и выходит от 1900 до 7900 за дом.</t>
  </si>
  <si>
    <t xml:space="preserve">При повторных запросах новые сведения сравниваются с первоначально собранным файлом — это уже мониторинг изменений. </t>
  </si>
  <si>
    <t>Поиск объекта по адресу</t>
  </si>
  <si>
    <t>• «Стандартизация адресов» с оплатой за обработанный адрес 
Первые 100 адресов обрабатываются бесплатно, далее — 0,20 ₽ за адрес. Оплачивается каждый вызов, даже если кадастровый номер определить не удалось.
• «Подсказки по адресам» на тарифе «Максимальный» за 56 000 ₽/год в рамках лимита подписки от 200 тыс. запросов в сутки. Лимит можно увеличить до 3 млн запросов в сутки; стоимость подписки при этом увеличивается.</t>
  </si>
  <si>
    <t>Полигон: API Адрес» — сервис ввода, нормализации и структурирования адресов. Подтвержденные сценарии сервиса — подсказки адреса в форме или CRM и автоматическая подстановка адресов при подготовке технического плана.
Лимит запросов/Стоимость
• 11 000 в сутки	49 ₽/мес.
• 55 000 в сутки	990 ₽/мес. или 8 000 ₽/год
• 110 000 в сутки	1 990 ₽/мес. или 16 000 ₽/год
• 220 000 в сутки	3 990 ₽/мес. или 32 000 ₽/год</t>
  </si>
  <si>
    <t>см Стоимость запроса и тарифы</t>
  </si>
  <si>
    <t>• снижение неопределённости перед сделкой и экономия времени на сборе информации</t>
  </si>
  <si>
    <t>• снижение неопределённости перед сделкой и экономия времени на сборе информации
• Дополнительно в полном отчёте — получить юридическое заключение и рекомендации, чтобы разобраться в выявленных обстоятельствах и дальнейших проверках.</t>
  </si>
  <si>
    <t>Сценарии / джобы</t>
  </si>
  <si>
    <t>Подтвержденные отрасли и роли</t>
  </si>
  <si>
    <t>ФЛ и юл.
Покупатели, арендаторы, собственники. 
частные риелторы, сотрудники и юристы агентств недвижимости</t>
  </si>
  <si>
    <t>Ссылки</t>
  </si>
  <si>
    <r>
      <rPr>
        <b/>
        <sz val="11"/>
        <color theme="1"/>
        <rFont val="Calibri"/>
        <family val="2"/>
        <charset val="204"/>
        <scheme val="minor"/>
      </rPr>
      <t>Когда я выбираю недвижимость для покупки или сопровождаю сделку клиента, мне нужно проверить сведения об объекте и историю прав, чтобы до принятия обязательств заметить несоответствия и обстоятельства, требующие дополнительной проверки.</t>
    </r>
    <r>
      <rPr>
        <sz val="11"/>
        <color theme="1"/>
        <rFont val="Calibri"/>
        <family val="2"/>
        <charset val="204"/>
        <scheme val="minor"/>
      </rPr>
      <t xml:space="preserve">
1. Проверка перед покупкой: покупатель проверяет характеристики, зарегистрированные права, ограничения и историю выбранной недвижимости. [З; 1, 2; отзыв — 4*]
2. Сопровождение сделки клиента: частный риелтор, сотрудник или юрист агентства использует отчёты для проверки объекта и подготовки вопросов продавцу. [И; 3]
3. Проверка перед арендой: арендатор получает сведения об объекте как часть проверки перед заключением договора. [З; 1]
4. После погашения ипотеки: собственник проверяет, отражено ли снятие обременения. [З; 2]</t>
    </r>
  </si>
  <si>
    <t>З — заявлено поставщиком; И — интерпретация.
Номера источников относятся к этому столбцу.
[1] Покупка и аренда; состав сведений.
https://reestrik.ru/
[2] Проверка перед сделкой и после погашения ипотеки.
https://reestrik.ru/support
[3] Состав отчетов — основание интерпретации сценария для риелторов и агентств: сведения подходят для проверки объекта специалистом. Клиентский кейс агентства не подтвержден.
https://reestrik.ru/tariffs
[4*] Ранее найденная ссылка на отзыв о покупке участка. Текст при повторной проверке не получен.
https://www.banki.ru/services/responses/bank/response/11997086/</t>
  </si>
  <si>
    <t>З — заявлено поставщиком; И — интерпретация.
Номера источников относятся к этому столбцу.
[1] Проверка перед покупкой; состав полного отчета и юридическое заключение.
https://егрн.орг/
[2] Проверка перед арендой квартиры.
https://егрн.орг/что-проверить-при-аренде-квартиры/
[3] Проверка снятия обременения; раздел про ипотеку.
https://егрн.орг/проверить-сняли-ли-обременение-на-недвижимость/
[4] Оферта, п. 1.4 и 3.7.2: заказчики, включая бизнес, и состав отчетов. Применение риелторами и агентствами выведено из состава сведений, а не из клиентского кейса.
https://егрн.орг/публичная-оферта/</t>
  </si>
  <si>
    <r>
      <rPr>
        <b/>
        <sz val="11"/>
        <color theme="1"/>
        <rFont val="Calibri"/>
        <family val="2"/>
        <charset val="204"/>
        <scheme val="minor"/>
      </rPr>
      <t xml:space="preserve">Когда я выбираю недвижимость для покупки или сопровождаю сделку клиента, мне нужно проверить сведения об объекте и историю прав, чтобы до принятия обязательств заметить несоответствия и обстоятельства, требующие дополнительной проверки.
</t>
    </r>
    <r>
      <rPr>
        <sz val="11"/>
        <color theme="1"/>
        <rFont val="Calibri"/>
        <family val="2"/>
        <charset val="204"/>
        <scheme val="minor"/>
      </rPr>
      <t xml:space="preserve">
То же, что и у Реестрик [покупка — З, 1; сопровождение — И, 4; аренда — З, 2; ипотека — З, 3] </t>
    </r>
    <r>
      <rPr>
        <b/>
        <sz val="11"/>
        <color theme="1"/>
        <rFont val="Calibri"/>
        <family val="2"/>
        <charset val="204"/>
        <scheme val="minor"/>
      </rPr>
      <t>+ Расширенная проверка перед сделкой:</t>
    </r>
    <r>
      <rPr>
        <sz val="11"/>
        <color theme="1"/>
        <rFont val="Calibri"/>
        <family val="2"/>
        <charset val="204"/>
        <scheme val="minor"/>
      </rPr>
      <t xml:space="preserve"> заказчик дополняет проверку объекта проверкой продавца и получает заключение и рекомендации в составе полного отчёта. [З; 1]</t>
    </r>
  </si>
  <si>
    <t>• Экономия времени и других ресурсов на сборе сведений по объектам.
• Получение данных для собственного сервиса без самостоятельной разработки, использовать готовый программный доступ.  Подключение к API-CLOUD и обработку результата клиент при этом разрабатывает сам. [А1, А2]</t>
  </si>
  <si>
    <t>• Снижение неопределённости перед сделкой и экономия времени на сборе информации. → справки и получение сведений о конкретном объекте. База N заявляет проверку объектов, в том числе для кредитного анализа и риелторов.
•  Сокращение ручных проверок портфеля объектов и перенос сведений в свою систему.→ мониторинг изменений и уведомления.
• Быстрее находить подходящие объекты и реагировать на изменения. (интерпретация ценности заявленных возможностей). [Б1] → получение данных об объектах через программный интерфейс.</t>
  </si>
  <si>
    <t>На сайте названы: покупатели, риелторы, агентства, банки, страховые компании, девелоперы, УК и РСО; специалисты кредитного анализа, аналитики, службы безопасности. [Б1]
Роли, прямо указанные поставщиком: риелторы; аналитики; службы безопасности; специалисты продаж; андеррайтинг / кредитный анализ.
Для остальных отраслей конкретные роли публично не названы.</t>
  </si>
  <si>
    <t>З — сценарий прямо заявлен поставщиком на сайте.
FAQ — применение дополнительно описано поставщиком в разделе «Ответы на вопросы».
И — интерпретация применения заявленной функции; клиентский кейс не подтвержден.
[1] База N / API-Base, официальный сайт — аудитории, поиск объектов по критериям, проверка объекта, история изменений, связи объектов, мониторинг, ЗОУИТ, координаты и API.
https://api-base.ru/
[2] База N / API-Base, «Ответы на вопросы» — содержание и периодичность мониторинга, работа с большими массивами объектов; прямо названы банки, страховые компании, крупные УК и РСО; описан сценарий ведения реестров в ЖКХ.
https://api-base.ru/
Именованные клиентские кейсы на проверенной актуальной странице не представлены.</t>
  </si>
  <si>
    <r>
      <rPr>
        <b/>
        <sz val="11"/>
        <color theme="1"/>
        <rFont val="Calibri"/>
        <family val="2"/>
        <charset val="204"/>
        <scheme val="minor"/>
      </rPr>
      <t xml:space="preserve">1. Подбор и проверка перед сделкой: </t>
    </r>
    <r>
      <rPr>
        <sz val="11"/>
        <color theme="1"/>
        <rFont val="Calibri"/>
        <family val="2"/>
        <charset val="204"/>
        <scheme val="minor"/>
      </rPr>
      <t xml:space="preserve">Риелтор отбирает объекты по требованиям клиента и проверяет права, ограничения и историю; покупатель проверяет уже выбранную недвижимость. Заявлено поставщиком. [1]
   Пересечение с Контуром: Отчеты + Открытые данные.
</t>
    </r>
    <r>
      <rPr>
        <b/>
        <sz val="11"/>
        <color theme="1"/>
        <rFont val="Calibri"/>
        <family val="2"/>
        <charset val="204"/>
        <scheme val="minor"/>
      </rPr>
      <t>2. Проверка недвижимости перед принятием в залог:</t>
    </r>
    <r>
      <rPr>
        <sz val="11"/>
        <color theme="1"/>
        <rFont val="Calibri"/>
        <family val="2"/>
        <charset val="204"/>
        <scheme val="minor"/>
      </rPr>
      <t xml:space="preserve"> банковский специалист получает характеристики объекта и сведения об ограничениях для рассмотрения залога перед выдачей кредита. Заявлено поставщиком. [1]
   Пересечение: Отчеты + Открытые данные.
</t>
    </r>
    <r>
      <rPr>
        <b/>
        <sz val="11"/>
        <color theme="1"/>
        <rFont val="Calibri"/>
        <family val="2"/>
        <charset val="204"/>
        <scheme val="minor"/>
      </rPr>
      <t xml:space="preserve">3. Выбор участка под строительный проект: </t>
    </r>
    <r>
      <rPr>
        <sz val="11"/>
        <color theme="1"/>
        <rFont val="Calibri"/>
        <family val="2"/>
        <charset val="204"/>
        <scheme val="minor"/>
      </rPr>
      <t xml:space="preserve">Девелопер проверяет параметры участка, ограничения использования территории и связи с расположенными объектами. Заявлено поставщиком. [1]
   Пересечение: частично Открытые данные.
</t>
    </r>
    <r>
      <rPr>
        <b/>
        <sz val="11"/>
        <color theme="1"/>
        <rFont val="Calibri"/>
        <family val="2"/>
        <charset val="204"/>
        <scheme val="minor"/>
      </rPr>
      <t xml:space="preserve">4. Контроль портфеля недвижимости: </t>
    </r>
    <r>
      <rPr>
        <sz val="11"/>
        <color theme="1"/>
        <rFont val="Calibri"/>
        <family val="2"/>
        <charset val="204"/>
        <scheme val="minor"/>
      </rPr>
      <t xml:space="preserve">Банк, УК или РСО отслеживает изменения прав, обременений и характеристик, чтобы уточнять сведения по изменившимся объектам. Заявлено поставщиком; работа с банками, страховыми, крупными УК и РСО дополнительно описана в «Ответах на вопросы». [1; 2]
   Пересечение: Мониторинг + Отчеты.
</t>
    </r>
    <r>
      <rPr>
        <b/>
        <sz val="11"/>
        <color theme="1"/>
        <rFont val="Calibri"/>
        <family val="2"/>
        <charset val="204"/>
        <scheme val="minor"/>
      </rPr>
      <t xml:space="preserve">5. Актуализация собственной базы объектов: </t>
    </r>
    <r>
      <rPr>
        <sz val="11"/>
        <color theme="1"/>
        <rFont val="Calibri"/>
        <family val="2"/>
        <charset val="204"/>
        <scheme val="minor"/>
      </rPr>
      <t xml:space="preserve">Организация получает сведения через API для заполнения и обновления карточек недвижимости. Интерпретация применения заявленной интеграции; уверенность средняя. [1]
   Пересечение: Открытые данные.
</t>
    </r>
    <r>
      <rPr>
        <b/>
        <sz val="11"/>
        <color theme="1"/>
        <rFont val="Calibri"/>
        <family val="2"/>
        <charset val="204"/>
        <scheme val="minor"/>
      </rPr>
      <t xml:space="preserve">6. Поиск объектов по заданным критериям: </t>
    </r>
    <r>
      <rPr>
        <sz val="11"/>
        <color theme="1"/>
        <rFont val="Calibri"/>
        <family val="2"/>
        <charset val="204"/>
        <scheme val="minor"/>
      </rPr>
      <t xml:space="preserve">Риелтор, девелопер, инвестор или аналитик формирует выборку объектов по региону, площади, стоимости, назначению, ограничениям и другим параметрам для поиска подходящей недвижимости. Заявлено поставщиком, приведены примеры поисковых выборок. [1]
   Пересечение с Контуром: нет. Это конкурентное преимущество Базы N — сопоставимой функции у Контур.Недвижимости нет. ApiBase
</t>
    </r>
    <r>
      <rPr>
        <b/>
        <sz val="11"/>
        <color theme="1"/>
        <rFont val="Calibri"/>
        <family val="2"/>
        <charset val="204"/>
        <scheme val="minor"/>
      </rPr>
      <t xml:space="preserve">7. Исследование рынка и поиск инвестиционных возможностей, анализ территории и объектов на ней: </t>
    </r>
    <r>
      <rPr>
        <sz val="11"/>
        <color theme="1"/>
        <rFont val="Calibri"/>
        <family val="2"/>
        <charset val="204"/>
        <scheme val="minor"/>
      </rPr>
      <t xml:space="preserve">Аналитик или инвестор/девелопер работает с большими массивами недвижимости, сравнивает территории, анализирует изменения и ищет перспективные объекты или направления. Заявлено поставщиком для аналитиков и инвесторов. [1]
   Пересечение: частично Открытые данные; готовой аналитики рынка у Контур.Недвижимости нет. ApiBase
</t>
    </r>
  </si>
  <si>
    <t>1. **Поиск кадастрового номера по адресу:** сотрудник или информационная система клиента передает известный адрес и получает кадастровый номер объекта для дальнейшей работы с ним. Заявлено поставщиком. [1] **Пересечение: Поиск по адресу.**
2. **Получение и обновление данных по объектам:** организация по кадастровому номеру автоматически получает площадь, назначение, кадастровую стоимость, права, ограничения и другие сведения для заполнения или актуализации своей базы объектов. Получение данных заявлено поставщиком; массовое применение — интерпретация на основе программного доступа и самостоятельной интеграции. [1; 2] **Пересечение: Открытые данные.**
3. **Предварительная проверка объекта перед сделкой:** юрист или специалист по проверке получает характеристики объекта, зарегистрированные права и ограничения и использует их как исходные данные для проверки сделки. Сценарий описан независимым каталогом API. [3] **Пересечение: Открытые данные.**
4. **Получение координат и данных объекта для карты / земельной задачи:** специалист по земельным или имущественным объектам получает по кадастровому номеру характеристики и координаты объекта для отображения на карте и дальнейшего анализа. Интерпретация на основе метода публичной кадастровой карты, заявленного поставщиком. [1] **Пересечение: частично Открытые данные; координаты — дополнительная возможность API-CLOUD.**
5. **API-CLOUD как внешний поставщик данных внутри клиентского сервиса:** разработчик сервиса проверки подключает API-CLOUD как один из внешних источников, получает результаты проверок и собирает их в едином интерфейсе или отчете. Модель интеграции подтверждена Legal Portal; конкретный состав данных, получаемых от API-CLOUD по недвижимости, не раскрыт. [4] **Пересечение: Открытые данные, модель встраивания.**</t>
  </si>
  <si>
    <t>**З** — функция / возможность заявлена API-CLOUD на официальном сайте.  
**И** — сценарий применения интерпретирован на основе подтвержденной функции.  
**В** — сценарий или отрасль описаны независимым источником.  
**К** — интеграция подтверждена документами внешнего сервиса.
[1] API-CLOUD, «API Росреестр» — поиск кадастрового номера по адресу, сведения об объекте, права и ограничения, публичная кадастровая карта и координаты.  
https://api-cloud.ru/rosreestr
[2] API-CLOUD, «Вопросы и ответы» — программная интеграция, формат ответа, самостоятельная разработка подключения клиентом.  
https://api-cloud.ru/faq
[3] «Портал API», API Росреестра API-CLOUD — юридическая проверка и сделки, отрасль «проверка контрагентов / комплаенс».  
https://apiportal.ru/catalog/api-rosreestr-/
[4] Legal Portal, согласие на обработку данных — проверки объектов недвижимости и использование внешних сервисов, включая API-Cloud, с последующей обработкой и формированием отчета.  
https://legal-portal.pro/api/agreements/html?doc=pdn&amp;v=v2026-04-29</t>
  </si>
  <si>
    <t>**Отрасли / сферы деятельности:** юридические сервисы и сервисы проверки; ИТ-сервисы и разработчики интеграционных решений; компании, работающие с кадастровыми и имущественными данными.
**Роли:** юрист / специалист по проверке; специалист по данным / недвижимости; специалист по земельно-имущественным вопросам; разработчик / интегратор.</t>
  </si>
  <si>
    <t>1. **Получение актуальных сведений для кадастровых работ:** кадастровый инженер запрашивает выписку ЕГРН или кадастровый план территории, чтобы использовать актуальные сведения при подготовке кадастровых документов. Заявлено и описано поставщиком. [1] **Пересечение: Отчеты; результат — официальный документ ЕГРН.**
2. **Пакетное получение сведений по объектам:** кадастровая организация или другой профессиональный пользователь загружает перечень объектов и запрашивает нужные выписки сразу по нескольким объектам. Описано в документации поставщика. [2] **Пересечение: массовые Отчеты.**
3. **Судебная землеустроительная экспертиза:** эксперт получает через «Полигон Про» актуальный кадастровый план территории и сопоставляет сведения ЕГРН с фактическими границами для подготовки экспертного заключения. Подтверждено независимым судебным решением. [3] **Пересечение: частично Отчеты; специализированный кадастровый сценарий.**
4. **Корректный ввод адреса объекта:** клиент в заявке или кадастровый инженер при подготовке документа вводит адрес в произвольной форме, а «API Адрес» находит и структурирует корректный адрес и реквизиты ГАР/ФИАС. Заявлено поставщиком и реализовано в продуктах «Полигон». [4] **Пересечение с исследуемыми продуктами: нет.**
5. **Получение кадастрового номера по адресу:** информационная система передает адрес, а в ответе API предусмотрены кадастровые номера участка, дома и квартиры, что позволяет идентифицировать объект для дальнейшей работы. Интерпретация на основе технической документации API. [5] **Пересечение: Поиск по адресу; полнота получения кадастровых номеров не подтверждена.**</t>
  </si>
  <si>
    <t>**Отрасли / сферы деятельности:** кадастровые организации; землеустроительные и экспертные организации.
**Роли:** кадастровый инженер / кадастровый специалист; землеустроительный или судебный эксперт; менеджер кадастровой организации; разработчик / интегратор.</t>
  </si>
  <si>
    <t>**З** — сценарий заявлен или описан поставщиком.  
**К** — реальное использование подтверждено независимым источником.  
**И** — сценарий интерпретирован на основе технически подтвержденной функции.
[1] «Полигон Про», модуль «Запрос в ЕГРН» — получение выписок ЕГРН и кадастровых планов территории.  
https://pbprog.ru/journal/instructions/69348
[2] «Полигон Про», запрос по объектам — пакетный запрос по нескольким объектам.  
https://www.pbprog.ru/docs/pro/pzr/object.html
[3] Судебное решение — при проведении землеустроительной экспертизы актуальный кадастровый план территории заказан через «Полигон Про».  
https://sudact.ru/regular/doc/w6S9g1pgjyQj/
[4] «Полигон: API Адрес» — структурирование адреса и применение при подготовке технического плана.  
https://pbprog.ru/lp/fias/
[5] Техническая документация «API Адрес» — в структуре ответа предусмотрены кадастровые номера земельного участка, дома и квартиры.  
https://services.pbprog.ru/doc/apiFias/varaddress_post.html</t>
  </si>
  <si>
    <t>• **Экономия времени на получении официальных сведений ЕГРН** — запрос выписок и кадастровых планов прямо из профессионального рабочего контура, без ручной работы через отдельные сервисы.
• **Снижение трудозатрат при работе с большим числом объектов** — пакетное формирование и отправка запросов по списку объектов.
• **Получение актуальных официальных данных для кадастровых работ и экспертизы** — сведения ЕГРН можно сразу использовать в профессиональном процессе и документах.
• **Автоматизация работы с адресами** — корректный структурированный адрес и адресные идентификаторы автоматически подставляются в формы, документы или систему клиента.</t>
  </si>
  <si>
    <t>• Экономия времени на идентификации объектов — автоматически получать кадастровый номер по адресу вместо ручного поиска.
• Сокращение ручной обработки больших адресных баз — массово дополнять адреса кадастровыми номерами через API или загрузку файла.
• Подготовка данных для рабочих и обязательных систем — быстро приводить базу объектов к формату, необходимому для ГИС ЖКХ, АИС «Страхование» и внутренних систем.
• Обогащение адресных данных — вместе с нормализованным адресом получать кадастровый номер, площадь квартиры и другие адресные характеристики.</t>
  </si>
  <si>
    <t>Идентификация объекта перед сделкой или ипотекой: банк или другой участник сделки по адресу определяет кадастровый номер, чтобы затем получить сведения ЕГРН и проверить выбранную недвижимость. Заявлено поставщиком. [1] Пересечение: Поиск по адресу.
Заполнение ГИС ЖКХ: сотрудник управляющей организации массово дополняет список помещений кадастровыми номерами и загружает подготовленные данные в ГИС ЖКХ вместо ручного поиска каждого объекта. Заявлено поставщиком. [1] Пересечение: Поиск по адресу.
Подготовка данных по застрахованной недвижимости: страховая компания по имеющимся адресам определяет кадастровые номера домов и квартир для передачи сведений в АИС «Страхование». Описано в отраслевой инструкции поставщика. [3] Пересечение: Поиск по адресу.
Обогащение собственной базы объектов: специалист по данным или интегратор массово обрабатывает адресную базу и дополняет карточки объектов кадастровым номером, площадью квартиры и другими доступными адресными характеристиками. Интерпретация на основе заявленных возможностей «Стандартизации адресов». [1; 2; 4] Пересечение: Поиск по адресу + частично Открытые данные.</t>
  </si>
  <si>
    <t>Отрасли / сферы деятельности: банки и финансовые организации; управляющие организации / ЖКХ; страховые компании; организации с собственными базами объектов недвижимости.
Роли: специалист банка по ипотеке / залогам; сотрудник УК, отвечающий за сведения об объектах и ГИС ЖКХ; специалист страховой компании по данным объектов; специалист по данным; разработчик / интегратор.</t>
  </si>
  <si>
    <t>З — сценарий заявлен на продуктовой странице поставщика.
И — сценарий применения интерпретирован на основе заявленных функций.
Инструкция — отраслевой процесс подробно описан самим поставщиком.
[1] «Дадата», «Кадастровый номер по адресу» — проверка недвижимости перед сделкой/ипотекой, ГИС ЖКХ, массовая обработка адресов.
https://dadata.ru/product/cadnum-by-address/
[2] «Дадата», документация API «Кадастровый номер по адресу» — состав ответа и программная обработка адресов.
https://dadata.ru/api/cadastre-clean/
[3] «Дадата», инструкция «Как определить кадастровый номер жилья для подачи в АИС „Страхование“».
https://dadata.ru/blog/instructions/cadnum-insurance/
[4] «Дадата», база знаний «Площадь квартиры» — получение площади из сведений Росреестра.
https://support.dadata.ru/knowledge-bases/4/articles/1647-ploschad-kvartiryi</t>
  </si>
  <si>
    <t>Поиск по адресу, частично ОД через отдельные характеристики объекта</t>
  </si>
  <si>
    <t>Нишевый, реестр собственников многоквартирного дома, актуализация данных и отраслевой процесс для организаций ЖКХ. Сервис ориентирован на организации ЖКХ, включая УК/ТСЖ, РСО, расчетные центры и фонды капремонта; заявляет мониторинг более 400 тыс. объектов ежемесячно.</t>
  </si>
  <si>
    <t>1. Формирование реестра собственников МКД: сотрудник УК или ТСЖ получает сведения обо всех помещениях, площадях, правах и собственниках дома, чтобы вести обязательный реестр и использовать его при проведении общего собрания собственников. Заявлено поставщиком. [1] Пересечение: Отчеты; у Реестра Дома результат специализирован под ЖКХ — готовый реестр всего дома.
2. Актуализация собственников и сведений по жилфонду: организация ЖКХ ставит помещения дома на ежемесячный мониторинг и получает информацию о смене собственника, изменении регистрационных данных и появлении или снятии ограничений. Данные используются в том числе для работы с новыми собственниками, собраний и претензионной работы. Заявлено поставщиком; на странице приведен пример использования клиентом-УК. [2] Пересечение: Мониторинг + Отчеты.
3. Получение сведений по отдельному объекту: сотрудник организации получает по квартире, помещению, зданию или земельному участку сводный отчет с характеристиками, собственниками и историей владения, ограничениями и дополнительными сведениями об объекте. Заявлено поставщиком. [3] Пересечение: Отчеты.</t>
  </si>
  <si>
    <t>Мониторинг, отчеты</t>
  </si>
  <si>
    <t>З — сценарий и применение прямо заявлены поставщиком.
К — на странице описан пример использования клиентом.
[1] ReestrDoma.ru, «Реестр собственников» — состав реестра, использование при общих собраниях, обязанность ведения и актуализации реестра.
Реестр собственников
[2] ReestrDoma.ru, «Актуализация данных» — ежемесячный мониторинг смены собственника, прав и ограничений; использование для собраний, договоров с новыми собственниками и претензионной работы; пример клиента-УК.
Актуализация данных
[3] ReestrDoma.ru, «Отчеты о недвижимости» — состав сводного отчета по квартире, помещению, зданию или земельному участку.
Отчеты о недвижимости
[4] ReestrDoma.ru, главная страница — целевые аудитории: УК/ТСЖ, жилищные инспекции, фонды капремонта, расчетные центры, РСО; масштаб мониторинга объектов.
ReestrDoma.ru</t>
  </si>
  <si>
    <t>Отрасли / сферы деятельности: управляющие организации; ТСЖ и ЖСК; ресурсоснабжающие организации; расчетные центры; фонды капитального ремонта; государственные жилищные инспекции.
Роли: специалист УК/ТСЖ, отвечающий за реестр собственников и работу с жилфондом; специалист по проведению общих собраний; юрист / специалист по претензионной работе и взысканию задолженности.</t>
  </si>
  <si>
    <t>• Экономия времени и трудозатрат на получение и актуализацию данных — не нужно вручную собирать сведения по каждому помещению и повторно проверять весь жилфонд.
• Снижение риска работы с неактуальными сведениями о собственниках — изменения собственников, прав и ограничений выявляются регулярно, поэтому организация может опираться на более актуальные данные.
• Ускорение рабочих процессов с собственниками и объектами — актуальные сведения можно использовать для общих собраний, договорной и претензионной работы, взыскания задолженности и точечных проверок объектов.</t>
  </si>
  <si>
    <t>Ценность для клиента (за что он платит)</t>
  </si>
  <si>
    <t xml:space="preserve">юридически значимые выписки </t>
  </si>
  <si>
    <t>• Снижение рисков по кредитным и залоговым объектам — своевременно видеть изменения по недвижимости и принимать решения на актуальных данных.
• Снижение трудозатрат на контроль портфеля — автоматически отслеживать большое количество объектов вместо регулярных ручных проверок.
• Ускорение банковских процессов с недвижимостью — быстрее контролировать проектное финансирование, завершать расчеты по сделкам и взаимодействовать с застройщиками по залоговым объектам.</t>
  </si>
  <si>
    <t>1. Контроль проектного финансирования и первичного рынка: специалист банка отслеживает проекты застройщиков, строительство и ввод домов, чтобы оценивать риски финансирования. Заявлено поставщиком. [1] Пересечение: Мониторинг + частично Открытые данные.
2. Контроль появления новых объектов после строительства: банк отслеживает появление зарегистрированной недвижимости на земельном участке, права и ипотеку, чтобы убедиться, что новое имущество оформлено в обеспечение. Заявлено поставщиком. [1] Пересечение: Мониторинг.
3. Работа с залоговой недвижимостью: банк контролирует залоговый портфель — снятие ипотеки, аресты и изменение характеристик объектов; при продаже квартир застройщика ГеоГраф также помогает банку и застройщику организовать вывод конкретных объектов из-под залога. Заявлено поставщиком и описано в отдельном сценарии. [1; 2] Пересечение: Мониторинг; процесс снятия залога частично выходит за исследуемый контур. ГеоГраф
4. Контроль перехода права по сделкам с аккредитивом: банк отслеживает смену собственника по объекту, чтобы после регистрации перехода права провести расчет с продавцом. Заявлено поставщиком. [1] Пересечение: Мониторинг. ГеоГраф</t>
  </si>
  <si>
    <t>Отрасли / сферы деятельности: банки и кредитные организации; застройщики — в совместном сценарии работы с залоговыми квартирами.
Роли: залоговое подразделение; специалисты проектного финансирования и корпоративного банковского бизнеса; специалисты ипотечного и розничного кредитования; специалисты по сопровождению аккредитивов.</t>
  </si>
  <si>
    <t>[1] «ГеоГраф» — официальный сайт: проектное финансирование, появление новых объектов, залоговый портфель, аккредитивы, механизм мониторинга.
https://geograf.ru/
[2] СКБ Техно, «Вывод из-под залога объектов недвижимости: взаимодействие банка и застройщика» — сценарий работы банка и застройщика с залоговыми квартирами через «ГеоГраф».
https://skb-techno.ru/vyvodizpodzalogaobyektovnedvizhimosti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</si>
</sst>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_-* #,##0.00_-;\-* #,##0.00_-;_-* &quot;-&quot;??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u/>
      <sz val="1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222222"/>
      <name val="Segoe UI"/>
      <family val="2"/>
      <charset val="204"/>
    </font>
    <font>
      <sz val="10"/>
      <color rgb="FF222222"/>
      <name val="Calibri"/>
      <family val="2"/>
      <charset val="204"/>
      <scheme val="minor"/>
    </font>
    <font>
      <sz val="7"/>
      <color rgb="FF222222"/>
      <name val="Segoe UI"/>
      <family val="2"/>
      <charset val="204"/>
    </font>
    <font>
      <b/>
      <sz val="11"/>
      <color theme="1"/>
      <name val="Calibri"/>
      <family val="2"/>
      <charset val="204"/>
    </font>
    <font>
      <sz val="11"/>
      <color rgb="FF222222"/>
      <name val="Calibri"/>
      <family val="2"/>
      <charset val="204"/>
      <scheme val="minor"/>
    </font>
    <font>
      <sz val="9.5"/>
      <color rgb="FF1F2937"/>
      <name val="Arial"/>
      <family val="2"/>
      <charset val="204"/>
    </font>
    <font>
      <sz val="10"/>
      <color rgb="FF1F2937"/>
      <name val="Calibri"/>
      <family val="2"/>
      <charset val="204"/>
      <scheme val="minor"/>
    </font>
    <font>
      <b/>
      <sz val="10"/>
      <color rgb="FF1F2937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2B6E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/>
      <bottom style="medium">
        <color rgb="FFF1F1F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2" fillId="3" borderId="1" xfId="3" applyFont="1" applyFill="1" applyBorder="1" applyAlignment="1">
      <alignment vertical="top" wrapText="1"/>
    </xf>
    <xf numFmtId="0" fontId="5" fillId="3" borderId="1" xfId="2" applyFont="1" applyFill="1" applyBorder="1" applyAlignment="1">
      <alignment horizontal="center" vertical="top" wrapText="1"/>
    </xf>
    <xf numFmtId="0" fontId="3" fillId="3" borderId="1" xfId="2" applyFill="1" applyBorder="1" applyAlignment="1">
      <alignment horizontal="center" vertical="top" wrapText="1"/>
    </xf>
    <xf numFmtId="0" fontId="5" fillId="4" borderId="1" xfId="2" applyFont="1" applyFill="1" applyBorder="1" applyAlignment="1">
      <alignment horizontal="center" vertical="top" wrapText="1"/>
    </xf>
    <xf numFmtId="0" fontId="5" fillId="5" borderId="1" xfId="2" applyFont="1" applyFill="1" applyBorder="1" applyAlignment="1">
      <alignment horizontal="center" vertical="top" wrapText="1"/>
    </xf>
    <xf numFmtId="0" fontId="4" fillId="0" borderId="0" xfId="3"/>
    <xf numFmtId="0" fontId="3" fillId="4" borderId="1" xfId="2" applyFill="1" applyBorder="1" applyAlignment="1">
      <alignment horizontal="center" vertical="top" wrapText="1"/>
    </xf>
    <xf numFmtId="0" fontId="3" fillId="5" borderId="1" xfId="2" applyFill="1" applyBorder="1" applyAlignment="1">
      <alignment horizontal="center" vertical="top" wrapText="1"/>
    </xf>
    <xf numFmtId="0" fontId="0" fillId="4" borderId="0" xfId="0" applyFill="1" applyAlignment="1">
      <alignment vertical="top"/>
    </xf>
    <xf numFmtId="0" fontId="6" fillId="2" borderId="1" xfId="3" applyFont="1" applyFill="1" applyBorder="1" applyAlignment="1">
      <alignment vertical="top" wrapText="1"/>
    </xf>
    <xf numFmtId="12" fontId="7" fillId="6" borderId="1" xfId="3" applyNumberFormat="1" applyFont="1" applyFill="1" applyBorder="1" applyAlignment="1">
      <alignment horizontal="left" vertical="top" wrapText="1"/>
    </xf>
    <xf numFmtId="0" fontId="4" fillId="6" borderId="1" xfId="3" applyFill="1" applyBorder="1" applyAlignment="1">
      <alignment horizontal="left" vertical="top" wrapText="1"/>
    </xf>
    <xf numFmtId="0" fontId="8" fillId="0" borderId="0" xfId="3" applyFont="1"/>
    <xf numFmtId="0" fontId="2" fillId="2" borderId="1" xfId="3" applyFont="1" applyFill="1" applyBorder="1" applyAlignment="1">
      <alignment vertical="top" wrapText="1"/>
    </xf>
    <xf numFmtId="0" fontId="9" fillId="6" borderId="1" xfId="3" applyFont="1" applyFill="1" applyBorder="1" applyAlignment="1">
      <alignment horizontal="left" vertical="top" wrapText="1"/>
    </xf>
    <xf numFmtId="0" fontId="2" fillId="2" borderId="0" xfId="3" applyFont="1" applyFill="1" applyAlignment="1">
      <alignment vertical="top" wrapText="1"/>
    </xf>
    <xf numFmtId="0" fontId="3" fillId="6" borderId="0" xfId="2" applyFill="1" applyAlignment="1">
      <alignment wrapText="1"/>
    </xf>
    <xf numFmtId="0" fontId="3" fillId="6" borderId="0" xfId="2" applyFill="1"/>
    <xf numFmtId="0" fontId="9" fillId="6" borderId="0" xfId="3" applyFont="1" applyFill="1" applyAlignment="1">
      <alignment horizontal="left" vertical="top" wrapText="1"/>
    </xf>
    <xf numFmtId="0" fontId="10" fillId="6" borderId="0" xfId="0" applyFont="1" applyFill="1" applyAlignment="1">
      <alignment wrapText="1"/>
    </xf>
    <xf numFmtId="0" fontId="10" fillId="6" borderId="0" xfId="0" applyFont="1" applyFill="1"/>
    <xf numFmtId="3" fontId="9" fillId="6" borderId="0" xfId="3" applyNumberFormat="1" applyFont="1" applyFill="1" applyAlignment="1">
      <alignment horizontal="left" vertical="top" wrapText="1"/>
    </xf>
    <xf numFmtId="0" fontId="11" fillId="6" borderId="3" xfId="0" applyFont="1" applyFill="1" applyBorder="1" applyAlignment="1">
      <alignment horizontal="right" vertical="center" wrapText="1"/>
    </xf>
    <xf numFmtId="164" fontId="12" fillId="6" borderId="3" xfId="1" applyNumberFormat="1" applyFont="1" applyFill="1" applyBorder="1" applyAlignment="1">
      <alignment horizontal="right" vertical="center" wrapText="1"/>
    </xf>
    <xf numFmtId="164" fontId="13" fillId="6" borderId="3" xfId="1" applyNumberFormat="1" applyFont="1" applyFill="1" applyBorder="1" applyAlignment="1">
      <alignment horizontal="right" vertical="center" wrapText="1"/>
    </xf>
    <xf numFmtId="164" fontId="9" fillId="6" borderId="0" xfId="1" applyNumberFormat="1" applyFont="1" applyFill="1" applyBorder="1" applyAlignment="1">
      <alignment horizontal="right" vertical="top" wrapText="1"/>
    </xf>
    <xf numFmtId="2" fontId="9" fillId="6" borderId="0" xfId="3" applyNumberFormat="1" applyFont="1" applyFill="1" applyAlignment="1">
      <alignment horizontal="right"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/>
    </xf>
    <xf numFmtId="0" fontId="0" fillId="6" borderId="0" xfId="0" applyFill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1" fillId="6" borderId="0" xfId="0" applyFont="1" applyFill="1" applyAlignment="1">
      <alignment horizontal="left" vertical="top" wrapText="1"/>
    </xf>
    <xf numFmtId="0" fontId="13" fillId="6" borderId="0" xfId="0" applyFont="1" applyFill="1" applyAlignment="1">
      <alignment vertical="top" wrapText="1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top" wrapText="1"/>
    </xf>
    <xf numFmtId="0" fontId="13" fillId="6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4" fillId="0" borderId="3" xfId="0" applyFont="1" applyBorder="1" applyAlignment="1">
      <alignment horizontal="right" vertical="top" wrapText="1"/>
    </xf>
    <xf numFmtId="0" fontId="17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5" fillId="7" borderId="1" xfId="2" applyFont="1" applyFill="1" applyBorder="1" applyAlignment="1">
      <alignment horizontal="center" vertical="top" wrapText="1"/>
    </xf>
    <xf numFmtId="0" fontId="4" fillId="7" borderId="0" xfId="3" applyFill="1" applyAlignment="1">
      <alignment vertical="top" wrapText="1"/>
    </xf>
    <xf numFmtId="0" fontId="4" fillId="7" borderId="0" xfId="3" applyFill="1" applyAlignment="1">
      <alignment vertical="top"/>
    </xf>
    <xf numFmtId="0" fontId="0" fillId="7" borderId="0" xfId="0" applyFill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2" borderId="1" xfId="3" applyFont="1" applyFill="1" applyBorder="1" applyAlignment="1">
      <alignment horizontal="left" vertical="top" wrapText="1"/>
    </xf>
    <xf numFmtId="0" fontId="2" fillId="6" borderId="1" xfId="3" applyFont="1" applyFill="1" applyBorder="1" applyAlignment="1">
      <alignment horizontal="left" vertical="top" wrapText="1"/>
    </xf>
    <xf numFmtId="0" fontId="2" fillId="6" borderId="2" xfId="3" applyFont="1" applyFill="1" applyBorder="1" applyAlignment="1">
      <alignment horizontal="left" vertical="top" wrapText="1"/>
    </xf>
    <xf numFmtId="0" fontId="2" fillId="2" borderId="2" xfId="3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0" fillId="0" borderId="0" xfId="0" applyFont="1" applyAlignment="1">
      <alignment wrapText="1"/>
    </xf>
    <xf numFmtId="0" fontId="20" fillId="6" borderId="1" xfId="3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5">
    <cellStyle name="Гиперссылка" xfId="2" builtinId="8"/>
    <cellStyle name="Обычный" xfId="0" builtinId="0"/>
    <cellStyle name="Обычный 2" xfId="3" xr:uid="{FD51F370-1783-4EA3-9623-307950DE29CD}"/>
    <cellStyle name="Финансовый" xfId="1" builtinId="3"/>
    <cellStyle name="Финансовый 2" xfId="4" xr:uid="{431117F9-C441-48B5-9B78-CC9E98A325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ograf.ru/" TargetMode="External"/><Relationship Id="rId13" Type="http://schemas.openxmlformats.org/officeDocument/2006/relationships/hyperlink" Target="https://focus.kontur.ru/entity?query=317366800106363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kadbase.ru/object-52:22:0700004:58-nizhegorodskaya-obl-r-n-volodarskij-rp-ilino-dom-19/" TargetMode="External"/><Relationship Id="rId7" Type="http://schemas.openxmlformats.org/officeDocument/2006/relationships/hyperlink" Target="https://reestrdoma.ru/tarify/" TargetMode="External"/><Relationship Id="rId12" Type="http://schemas.openxmlformats.org/officeDocument/2006/relationships/hyperlink" Target="https://focus.kontur.ru/entity?query=322710000068411" TargetMode="External"/><Relationship Id="rId17" Type="http://schemas.openxmlformats.org/officeDocument/2006/relationships/hyperlink" Target="https://pbprog.ru/lp/fias/" TargetMode="External"/><Relationship Id="rId2" Type="http://schemas.openxmlformats.org/officeDocument/2006/relationships/hyperlink" Target="https://reestrdoma.ru/tarify/" TargetMode="External"/><Relationship Id="rId16" Type="http://schemas.openxmlformats.org/officeDocument/2006/relationships/hyperlink" Target="https://focus.kontur.ru/entity?query=322237500371357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reestrik.ru/tariffs" TargetMode="External"/><Relationship Id="rId6" Type="http://schemas.openxmlformats.org/officeDocument/2006/relationships/hyperlink" Target="https://reestrik.ru/tariffs" TargetMode="External"/><Relationship Id="rId11" Type="http://schemas.openxmlformats.org/officeDocument/2006/relationships/hyperlink" Target="https://focus.kontur.ru/entity?query=323774600130465" TargetMode="External"/><Relationship Id="rId5" Type="http://schemas.openxmlformats.org/officeDocument/2006/relationships/hyperlink" Target="https://kadbase.ru/object-52:22:0700004:58-nizhegorodskaya-obl-r-n-volodarskij-rp-ilino-dom-19/" TargetMode="External"/><Relationship Id="rId15" Type="http://schemas.openxmlformats.org/officeDocument/2006/relationships/hyperlink" Target="https://api-cloud.ru/" TargetMode="External"/><Relationship Id="rId10" Type="http://schemas.openxmlformats.org/officeDocument/2006/relationships/hyperlink" Target="https://smartdeal.pro/reestr-doma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geograf.ru/" TargetMode="External"/><Relationship Id="rId9" Type="http://schemas.openxmlformats.org/officeDocument/2006/relationships/hyperlink" Target="https://&#1077;&#1075;&#1088;&#1085;.&#1086;&#1088;&#1075;/" TargetMode="External"/><Relationship Id="rId14" Type="http://schemas.openxmlformats.org/officeDocument/2006/relationships/hyperlink" Target="https://dadata.ru/product/cadnum-by-addr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58D8-A47E-4DFC-BFBB-C10078161ECA}">
  <dimension ref="A1:T23"/>
  <sheetViews>
    <sheetView tabSelected="1" zoomScale="90" zoomScaleNormal="90" workbookViewId="0">
      <pane xSplit="1" ySplit="2" topLeftCell="H19" activePane="bottomRight" state="frozen"/>
      <selection pane="topRight" activeCell="B1" sqref="B1"/>
      <selection pane="bottomLeft" activeCell="A3" sqref="A3"/>
      <selection pane="bottomRight" activeCell="O20" sqref="O20"/>
    </sheetView>
  </sheetViews>
  <sheetFormatPr defaultRowHeight="14.5" x14ac:dyDescent="0.35"/>
  <cols>
    <col min="1" max="1" width="17.08984375" style="65" customWidth="1"/>
    <col min="2" max="2" width="30.1796875" customWidth="1"/>
    <col min="3" max="3" width="58.81640625" customWidth="1"/>
    <col min="4" max="4" width="58.90625" customWidth="1"/>
    <col min="5" max="5" width="77.26953125" customWidth="1"/>
    <col min="6" max="6" width="86.1796875" customWidth="1"/>
    <col min="7" max="7" width="75" customWidth="1"/>
    <col min="8" max="8" width="49.6328125" customWidth="1"/>
    <col min="9" max="9" width="68.6328125" customWidth="1"/>
    <col min="10" max="10" width="55.54296875" customWidth="1"/>
    <col min="11" max="11" width="37.81640625" customWidth="1"/>
  </cols>
  <sheetData>
    <row r="1" spans="1:20" ht="7" customHeight="1" x14ac:dyDescent="0.35">
      <c r="A1" s="57"/>
      <c r="J1" s="2"/>
    </row>
    <row r="2" spans="1:20" s="8" customFormat="1" ht="29.5" customHeight="1" x14ac:dyDescent="0.35">
      <c r="A2" s="58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" t="s">
        <v>10</v>
      </c>
      <c r="G2" s="50" t="s">
        <v>8</v>
      </c>
      <c r="H2" s="50" t="s">
        <v>9</v>
      </c>
      <c r="I2" s="7" t="s">
        <v>5</v>
      </c>
      <c r="J2" s="7" t="s">
        <v>6</v>
      </c>
      <c r="K2" s="7" t="s">
        <v>7</v>
      </c>
    </row>
    <row r="3" spans="1:20" s="8" customFormat="1" ht="46.5" customHeight="1" x14ac:dyDescent="0.35">
      <c r="A3" s="58"/>
      <c r="B3" s="3"/>
      <c r="C3" s="5" t="s">
        <v>11</v>
      </c>
      <c r="D3" s="5" t="s">
        <v>12</v>
      </c>
      <c r="E3" s="9" t="s">
        <v>13</v>
      </c>
      <c r="F3" s="11" t="s">
        <v>19</v>
      </c>
      <c r="G3" s="51" t="s">
        <v>17</v>
      </c>
      <c r="H3" s="52" t="s">
        <v>18</v>
      </c>
      <c r="I3" s="10" t="s">
        <v>14</v>
      </c>
      <c r="J3" s="10" t="s">
        <v>15</v>
      </c>
      <c r="K3" s="10" t="s">
        <v>16</v>
      </c>
    </row>
    <row r="4" spans="1:20" s="15" customFormat="1" ht="13.75" customHeight="1" x14ac:dyDescent="0.3">
      <c r="A4" s="64" t="s">
        <v>20</v>
      </c>
      <c r="B4" s="12"/>
      <c r="C4" s="13">
        <v>772456429403</v>
      </c>
      <c r="D4" s="13">
        <v>711205802228</v>
      </c>
      <c r="E4" s="13">
        <v>6163142588</v>
      </c>
      <c r="F4" s="14" t="s">
        <v>22</v>
      </c>
      <c r="G4" s="14" t="s">
        <v>21</v>
      </c>
      <c r="H4" s="14">
        <v>4345438138</v>
      </c>
      <c r="I4" s="13">
        <v>366409330904</v>
      </c>
      <c r="J4" s="13">
        <v>6685143657</v>
      </c>
      <c r="K4" s="13">
        <v>7706446431</v>
      </c>
    </row>
    <row r="5" spans="1:20" s="8" customFormat="1" ht="13.75" customHeight="1" x14ac:dyDescent="0.35">
      <c r="A5" s="59" t="s">
        <v>23</v>
      </c>
      <c r="B5" s="16"/>
      <c r="C5" s="17" t="s">
        <v>24</v>
      </c>
      <c r="D5" s="17" t="s">
        <v>24</v>
      </c>
      <c r="E5" s="17" t="s">
        <v>24</v>
      </c>
      <c r="F5" s="14" t="s">
        <v>26</v>
      </c>
      <c r="G5" s="14" t="s">
        <v>25</v>
      </c>
      <c r="H5" s="14" t="s">
        <v>26</v>
      </c>
      <c r="I5" s="17" t="s">
        <v>24</v>
      </c>
      <c r="J5" s="17" t="s">
        <v>24</v>
      </c>
      <c r="K5" s="17" t="s">
        <v>24</v>
      </c>
    </row>
    <row r="6" spans="1:20" s="8" customFormat="1" ht="13.75" customHeight="1" x14ac:dyDescent="0.35">
      <c r="A6" s="60"/>
      <c r="B6" s="18"/>
      <c r="C6" s="19" t="s">
        <v>27</v>
      </c>
      <c r="D6" s="20" t="s">
        <v>28</v>
      </c>
      <c r="E6" s="21" t="s">
        <v>29</v>
      </c>
      <c r="F6" s="20" t="s">
        <v>35</v>
      </c>
      <c r="G6" s="21" t="s">
        <v>33</v>
      </c>
      <c r="H6" s="21" t="s">
        <v>34</v>
      </c>
      <c r="I6" s="20" t="s">
        <v>30</v>
      </c>
      <c r="J6" s="21" t="s">
        <v>31</v>
      </c>
      <c r="K6" s="21" t="s">
        <v>32</v>
      </c>
    </row>
    <row r="7" spans="1:20" s="8" customFormat="1" ht="13.75" customHeight="1" x14ac:dyDescent="0.35">
      <c r="A7" s="60" t="s">
        <v>36</v>
      </c>
      <c r="B7" s="18"/>
      <c r="C7" s="21" t="s">
        <v>37</v>
      </c>
      <c r="D7" s="21" t="s">
        <v>37</v>
      </c>
      <c r="E7" s="21" t="s">
        <v>37</v>
      </c>
      <c r="F7" s="21" t="s">
        <v>37</v>
      </c>
      <c r="G7" s="21" t="s">
        <v>37</v>
      </c>
      <c r="H7" s="23" t="s">
        <v>38</v>
      </c>
      <c r="I7" s="21" t="s">
        <v>37</v>
      </c>
      <c r="J7" s="22" t="s">
        <v>38</v>
      </c>
      <c r="K7" s="23" t="s">
        <v>38</v>
      </c>
    </row>
    <row r="8" spans="1:20" s="8" customFormat="1" ht="13.75" customHeight="1" thickBot="1" x14ac:dyDescent="0.4">
      <c r="A8" s="60" t="s">
        <v>39</v>
      </c>
      <c r="B8" s="18"/>
      <c r="C8" s="21" t="s">
        <v>40</v>
      </c>
      <c r="D8" s="21" t="s">
        <v>40</v>
      </c>
      <c r="E8" s="24">
        <v>23333</v>
      </c>
      <c r="F8" s="21" t="s">
        <v>40</v>
      </c>
      <c r="G8" s="27">
        <v>161789</v>
      </c>
      <c r="H8" s="27">
        <v>25280</v>
      </c>
      <c r="I8" s="21" t="s">
        <v>40</v>
      </c>
      <c r="J8" s="25">
        <v>136195</v>
      </c>
      <c r="K8" s="26">
        <v>455476</v>
      </c>
    </row>
    <row r="9" spans="1:20" s="8" customFormat="1" ht="13.75" customHeight="1" thickBot="1" x14ac:dyDescent="0.4">
      <c r="A9" s="60" t="s">
        <v>41</v>
      </c>
      <c r="B9" s="18"/>
      <c r="C9" s="21" t="s">
        <v>40</v>
      </c>
      <c r="D9" s="21" t="s">
        <v>40</v>
      </c>
      <c r="E9" s="24">
        <v>28237</v>
      </c>
      <c r="F9" s="21" t="s">
        <v>40</v>
      </c>
      <c r="G9" s="28" t="s">
        <v>44</v>
      </c>
      <c r="H9" s="27" t="s">
        <v>45</v>
      </c>
      <c r="I9" s="21" t="s">
        <v>40</v>
      </c>
      <c r="J9" s="25" t="s">
        <v>42</v>
      </c>
      <c r="K9" s="28" t="s">
        <v>43</v>
      </c>
    </row>
    <row r="10" spans="1:20" s="8" customFormat="1" ht="13.75" customHeight="1" thickBot="1" x14ac:dyDescent="0.4">
      <c r="A10" s="60" t="s">
        <v>46</v>
      </c>
      <c r="B10" s="18"/>
      <c r="C10" s="21" t="s">
        <v>40</v>
      </c>
      <c r="D10" s="21" t="s">
        <v>40</v>
      </c>
      <c r="E10" s="24">
        <v>36345</v>
      </c>
      <c r="F10" s="21" t="s">
        <v>40</v>
      </c>
      <c r="G10" s="28">
        <v>260541</v>
      </c>
      <c r="H10" s="27">
        <v>53165</v>
      </c>
      <c r="I10" s="21" t="s">
        <v>40</v>
      </c>
      <c r="J10" s="25">
        <v>278782</v>
      </c>
      <c r="K10" s="28">
        <v>558060</v>
      </c>
    </row>
    <row r="11" spans="1:20" s="8" customFormat="1" ht="13.75" customHeight="1" x14ac:dyDescent="0.35">
      <c r="A11" s="60" t="s">
        <v>47</v>
      </c>
      <c r="B11" s="18"/>
      <c r="C11" s="21"/>
      <c r="D11" s="21"/>
      <c r="E11" s="29">
        <f>(E10/E8)^(1/2)-1</f>
        <v>0.24806454540683287</v>
      </c>
      <c r="F11" s="21"/>
      <c r="G11" s="29">
        <f>(G10/G8)^(1/2)-1</f>
        <v>0.26900561142467705</v>
      </c>
      <c r="H11" s="29">
        <f>(H10/H8)^(1/2)-1</f>
        <v>0.4501882243612203</v>
      </c>
      <c r="I11" s="21"/>
      <c r="J11" s="29">
        <f>(J10/J8)^(1/2)-1</f>
        <v>0.43071056009967257</v>
      </c>
      <c r="K11" s="29">
        <f>(K10/K8)^(1/2)-1</f>
        <v>0.10689824374073753</v>
      </c>
    </row>
    <row r="12" spans="1:20" s="8" customFormat="1" ht="33.5" customHeight="1" x14ac:dyDescent="0.35">
      <c r="A12" s="60"/>
      <c r="B12" s="18"/>
      <c r="C12" s="21"/>
      <c r="D12" s="21" t="s">
        <v>48</v>
      </c>
      <c r="E12" s="21" t="s">
        <v>49</v>
      </c>
      <c r="F12" s="21" t="s">
        <v>54</v>
      </c>
      <c r="G12" s="21" t="s">
        <v>52</v>
      </c>
      <c r="H12" s="21" t="s">
        <v>53</v>
      </c>
      <c r="I12" s="21" t="s">
        <v>50</v>
      </c>
      <c r="J12" s="21" t="s">
        <v>51</v>
      </c>
      <c r="K12" s="21" t="s">
        <v>51</v>
      </c>
    </row>
    <row r="13" spans="1:20" x14ac:dyDescent="0.35">
      <c r="A13" s="61" t="s">
        <v>55</v>
      </c>
      <c r="B13" s="30"/>
      <c r="C13" s="30" t="s">
        <v>56</v>
      </c>
      <c r="D13" s="30" t="s">
        <v>56</v>
      </c>
      <c r="E13" s="31" t="s">
        <v>57</v>
      </c>
      <c r="F13" s="31" t="s">
        <v>62</v>
      </c>
      <c r="G13" s="53" t="s">
        <v>115</v>
      </c>
      <c r="H13" s="53" t="s">
        <v>61</v>
      </c>
      <c r="I13" s="32" t="s">
        <v>118</v>
      </c>
      <c r="J13" s="33" t="s">
        <v>59</v>
      </c>
      <c r="K13" s="34" t="s">
        <v>60</v>
      </c>
      <c r="O13" s="8"/>
      <c r="P13" s="8"/>
      <c r="Q13" s="8"/>
      <c r="R13" s="8"/>
      <c r="S13" s="8"/>
      <c r="T13" s="8"/>
    </row>
    <row r="14" spans="1:20" ht="97" customHeight="1" thickBot="1" x14ac:dyDescent="0.4">
      <c r="A14" s="62" t="s">
        <v>63</v>
      </c>
      <c r="B14" s="35" t="s">
        <v>64</v>
      </c>
      <c r="C14" s="36" t="s">
        <v>65</v>
      </c>
      <c r="D14" s="36" t="s">
        <v>65</v>
      </c>
      <c r="E14" s="36" t="s">
        <v>66</v>
      </c>
      <c r="F14" s="42" t="s">
        <v>71</v>
      </c>
      <c r="G14" s="40" t="s">
        <v>69</v>
      </c>
      <c r="H14" s="41" t="s">
        <v>70</v>
      </c>
      <c r="I14" s="37" t="s">
        <v>116</v>
      </c>
      <c r="J14" s="38" t="s">
        <v>67</v>
      </c>
      <c r="K14" s="39" t="s">
        <v>68</v>
      </c>
      <c r="O14" s="8"/>
      <c r="P14" s="8"/>
      <c r="Q14" s="8"/>
    </row>
    <row r="15" spans="1:20" s="1" customFormat="1" ht="116.5" customHeight="1" thickBot="1" x14ac:dyDescent="0.4">
      <c r="A15" s="57" t="s">
        <v>56</v>
      </c>
      <c r="B15" s="43" t="s">
        <v>72</v>
      </c>
      <c r="C15" s="44" t="s">
        <v>73</v>
      </c>
      <c r="D15" s="44" t="s">
        <v>74</v>
      </c>
      <c r="E15" s="44" t="s">
        <v>75</v>
      </c>
      <c r="F15" s="46"/>
      <c r="H15" s="45" t="s">
        <v>76</v>
      </c>
      <c r="J15" s="43"/>
      <c r="K15" s="44"/>
    </row>
    <row r="16" spans="1:20" s="1" customFormat="1" ht="70" customHeight="1" x14ac:dyDescent="0.35">
      <c r="A16" s="57" t="s">
        <v>77</v>
      </c>
      <c r="E16" s="47" t="s">
        <v>78</v>
      </c>
      <c r="F16" s="43" t="s">
        <v>81</v>
      </c>
      <c r="G16" s="48" t="s">
        <v>80</v>
      </c>
      <c r="J16" s="43" t="s">
        <v>79</v>
      </c>
      <c r="K16" s="47"/>
    </row>
    <row r="17" spans="1:11" s="1" customFormat="1" ht="80.5" customHeight="1" x14ac:dyDescent="0.35">
      <c r="A17" s="57" t="s">
        <v>58</v>
      </c>
      <c r="E17" s="49" t="s">
        <v>82</v>
      </c>
      <c r="I17" s="43" t="s">
        <v>83</v>
      </c>
      <c r="J17" s="43" t="s">
        <v>84</v>
      </c>
      <c r="K17" s="49"/>
    </row>
    <row r="18" spans="1:11" s="1" customFormat="1" ht="86" customHeight="1" x14ac:dyDescent="0.35">
      <c r="A18" s="57" t="s">
        <v>85</v>
      </c>
      <c r="F18" s="43" t="s">
        <v>88</v>
      </c>
      <c r="G18" s="47" t="s">
        <v>86</v>
      </c>
      <c r="H18" s="43" t="s">
        <v>87</v>
      </c>
      <c r="J18" s="43"/>
    </row>
    <row r="19" spans="1:11" ht="173.5" customHeight="1" x14ac:dyDescent="0.35">
      <c r="A19" s="57" t="s">
        <v>122</v>
      </c>
      <c r="B19" s="56" t="s">
        <v>123</v>
      </c>
      <c r="C19" s="43" t="s">
        <v>89</v>
      </c>
      <c r="D19" s="43" t="s">
        <v>90</v>
      </c>
      <c r="E19" s="56" t="s">
        <v>100</v>
      </c>
      <c r="F19" s="56" t="s">
        <v>99</v>
      </c>
      <c r="G19" s="55" t="s">
        <v>111</v>
      </c>
      <c r="H19" s="55" t="s">
        <v>110</v>
      </c>
      <c r="I19" s="43" t="s">
        <v>121</v>
      </c>
      <c r="J19" s="56" t="s">
        <v>124</v>
      </c>
    </row>
    <row r="20" spans="1:11" ht="354.5" customHeight="1" x14ac:dyDescent="0.35">
      <c r="A20" s="57" t="s">
        <v>91</v>
      </c>
      <c r="C20" s="56" t="s">
        <v>95</v>
      </c>
      <c r="D20" s="56" t="s">
        <v>98</v>
      </c>
      <c r="E20" s="56" t="s">
        <v>103</v>
      </c>
      <c r="F20" s="56" t="s">
        <v>104</v>
      </c>
      <c r="G20" s="55" t="s">
        <v>112</v>
      </c>
      <c r="H20" s="55" t="s">
        <v>107</v>
      </c>
      <c r="I20" s="43" t="s">
        <v>117</v>
      </c>
      <c r="J20" s="56" t="s">
        <v>125</v>
      </c>
    </row>
    <row r="21" spans="1:11" ht="126" customHeight="1" x14ac:dyDescent="0.35">
      <c r="A21" s="57" t="s">
        <v>92</v>
      </c>
      <c r="C21" s="56" t="s">
        <v>93</v>
      </c>
      <c r="D21" s="56" t="s">
        <v>93</v>
      </c>
      <c r="E21" s="2" t="s">
        <v>101</v>
      </c>
      <c r="F21" s="55" t="s">
        <v>106</v>
      </c>
      <c r="G21" s="63" t="s">
        <v>113</v>
      </c>
      <c r="H21" s="55" t="s">
        <v>108</v>
      </c>
      <c r="I21" s="43" t="s">
        <v>120</v>
      </c>
      <c r="J21" s="2" t="s">
        <v>126</v>
      </c>
    </row>
    <row r="22" spans="1:11" ht="200" customHeight="1" x14ac:dyDescent="0.35">
      <c r="A22" s="57" t="s">
        <v>94</v>
      </c>
      <c r="C22" s="56" t="s">
        <v>96</v>
      </c>
      <c r="D22" s="56" t="s">
        <v>97</v>
      </c>
      <c r="E22" s="2" t="s">
        <v>102</v>
      </c>
      <c r="F22" s="55" t="s">
        <v>105</v>
      </c>
      <c r="G22" s="55" t="s">
        <v>114</v>
      </c>
      <c r="H22" s="55" t="s">
        <v>109</v>
      </c>
      <c r="I22" s="43" t="s">
        <v>119</v>
      </c>
      <c r="J22" s="2" t="s">
        <v>127</v>
      </c>
    </row>
    <row r="23" spans="1:11" x14ac:dyDescent="0.35">
      <c r="G23" s="54"/>
    </row>
  </sheetData>
  <hyperlinks>
    <hyperlink ref="C2" r:id="rId1" xr:uid="{E5D49049-AFF4-45C2-BB8F-ACB7DB3B4EF2}"/>
    <hyperlink ref="I2" r:id="rId2" xr:uid="{1AAA76F4-C61A-4482-9331-54DE4E7E82FA}"/>
    <hyperlink ref="E2" r:id="rId3" xr:uid="{3D933D24-C8DB-460E-8EDB-98BEBF952A68}"/>
    <hyperlink ref="J2" r:id="rId4" display="ГеоГраф" xr:uid="{AED37FE7-5310-4387-9284-D2821783A375}"/>
    <hyperlink ref="E3" r:id="rId5" xr:uid="{B4D3C632-FD70-4F2C-9ACA-E9B3615641D1}"/>
    <hyperlink ref="C3" r:id="rId6" xr:uid="{F2BDB618-A908-4AB2-AC8D-4389F0D4F1AA}"/>
    <hyperlink ref="I3" r:id="rId7" xr:uid="{4D276EFE-6030-4BDC-A24C-4819ABC7703A}"/>
    <hyperlink ref="J3" r:id="rId8" xr:uid="{42C3FB99-2C1B-41FB-B4CC-6F846F6298E6}"/>
    <hyperlink ref="D2" r:id="rId9" xr:uid="{CA73E4FA-B9F5-478F-A8AF-4A140BE38429}"/>
    <hyperlink ref="K3" r:id="rId10" xr:uid="{A81B3876-400D-4908-9DB0-0F4EE9518830}"/>
    <hyperlink ref="C6" r:id="rId11" display="https://focus.kontur.ru/entity?query=323774600130465" xr:uid="{EC2076A5-7453-4BB4-A9FB-52D88307E747}"/>
    <hyperlink ref="D6" r:id="rId12" display="https://focus.kontur.ru/entity?query=322710000068411" xr:uid="{5B9FD1CD-19A5-4D41-81EB-C12C147CBB7B}"/>
    <hyperlink ref="I6" r:id="rId13" display="https://focus.kontur.ru/entity?query=317366800106363" xr:uid="{82EE70B3-90FE-417F-A7EE-AC073DD7FDD7}"/>
    <hyperlink ref="G2" r:id="rId14" xr:uid="{357A2F2D-FDFE-4268-9C73-B55806B7B00C}"/>
    <hyperlink ref="F2" r:id="rId15" xr:uid="{CAB0CEB2-38D7-4F16-9706-D6CCDC3FF6D6}"/>
    <hyperlink ref="F6" r:id="rId16" display="https://focus.kontur.ru/entity?query=322237500371357" xr:uid="{9012170F-4C4B-4F8A-9CBB-9C425D9F42DA}"/>
    <hyperlink ref="H2" r:id="rId17" xr:uid="{C342FDDA-CF93-4868-A8C0-4DAFF7B12183}"/>
  </hyperlinks>
  <pageMargins left="0.7" right="0.7" top="0.75" bottom="0.75" header="0.3" footer="0.3"/>
  <pageSetup paperSize="9" orientation="portrait" r:id="rId18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konturplus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Лигуэ Ольга Владимировна</dc:creator>
  <cp:lastModifiedBy>Лигуэ Ольга Владимировна</cp:lastModifiedBy>
  <dcterms:created xsi:type="dcterms:W3CDTF">2026-09-29T10:30:38Z</dcterms:created>
  <dcterms:modified xsi:type="dcterms:W3CDTF">2026-09-30T05:21:57Z</dcterms:modified>
</cp:coreProperties>
</file>